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44a47fbf444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03ee062ff90447e"/>
    <x:sheet xmlns:r="http://schemas.openxmlformats.org/officeDocument/2006/relationships" name="Pricing" sheetId="2" r:id="R8e0f283901674760"/>
    <x:sheet xmlns:r="http://schemas.openxmlformats.org/officeDocument/2006/relationships" name="Price Shocks" sheetId="3" r:id="Rb3444d79930a4e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0.0000"/>
    <x:numFmt numFmtId="201" formatCode="0.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0" fontId="2" fillId="3" borderId="0" xfId="0" applyNumberFormat="1" applyFont="1" applyFill="1" applyBorder="1"/>
    <x:xf numFmtId="201" fontId="0" fillId="0" borderId="0" xfId="0" applyNumberFormat="1" applyFont="1" applyFill="1" applyBorder="1"/>
    <x:xf numFmtId="201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cebe6a8744128" /><Relationship Type="http://schemas.openxmlformats.org/officeDocument/2006/relationships/theme" Target="/xl/theme/theme1.xml" Id="Rd9dc82cddc5c4cc6" /><Relationship Type="http://schemas.openxmlformats.org/officeDocument/2006/relationships/sharedStrings" Target="/xl/sharedStrings.xml" Id="R6c4db0abb40546bb" /><Relationship Type="http://schemas.openxmlformats.org/officeDocument/2006/relationships/worksheet" Target="/xl/worksheets/sheet1.xml" Id="R803ee062ff90447e" /><Relationship Type="http://schemas.openxmlformats.org/officeDocument/2006/relationships/worksheet" Target="/xl/worksheets/sheet2.xml" Id="R8e0f283901674760" /><Relationship Type="http://schemas.openxmlformats.org/officeDocument/2006/relationships/worksheet" Target="/xl/worksheets/sheet3.xml" Id="Rb3444d79930a4e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479999542236328" hidden="0" customWidth="1"/>
    <x:col min="2" max="2" width="9.6899995803833" hidden="0" customWidth="1"/>
    <x:col min="4" max="4" width="19.520000457763672" hidden="0" customWidth="1"/>
    <x:col min="5" max="5" width="8.479999542236328" hidden="0" customWidth="1"/>
  </x:cols>
  <x:sheetData>
    <x:row r="1">
      <x:c r="A1" s="2" t="str">
        <x:v>Token Economics Calculator</x:v>
      </x:c>
      <x:c r="B1" s="2"/>
      <x:c r="C1" s="2"/>
      <x:c r="D1" s="2"/>
      <x:c r="E1" s="2"/>
      <x:c r="F1" s="2"/>
    </x:row>
    <x:row r="3">
      <x:c r="A3" s="4" t="str">
        <x:v>Input</x:v>
      </x:c>
      <x:c r="B3" s="4" t="str">
        <x:v>Value</x:v>
      </x:c>
      <x:c r="C3" s="4"/>
      <x:c r="D3" s="4" t="str">
        <x:v>Output</x:v>
      </x:c>
      <x:c r="E3" s="4" t="str">
        <x:v>Formula</x:v>
      </x:c>
      <x:c r="F3" s="4"/>
    </x:row>
    <x:row r="4">
      <x:c r="A4" t="str">
        <x:v>Model</x:v>
      </x:c>
      <x:c r="B4" t="str">
        <x:v>gpt-4.1-mini</x:v>
      </x:c>
      <x:c r="D4" t="str">
        <x:v>Input cost / request</x:v>
      </x:c>
      <x:c r="E4" s="5" t="n">
        <x:f>B5/1000000*XLOOKUP(B4,Pricing!A:A,Pricing!B:B)</x:f>
        <x:v>0.00128</x:v>
      </x:c>
    </x:row>
    <x:row r="5">
      <x:c r="A5" t="str">
        <x:v>Input tokens / request</x:v>
      </x:c>
      <x:c r="B5" t="n">
        <x:v>3200</x:v>
      </x:c>
      <x:c r="D5" t="str">
        <x:v>Output cost / request</x:v>
      </x:c>
      <x:c r="E5" s="5" t="n">
        <x:f>B6/1000000*XLOOKUP(B4,Pricing!A:A,Pricing!C:C)</x:f>
        <x:v>0.00144</x:v>
      </x:c>
    </x:row>
    <x:row r="6">
      <x:c r="A6" t="str">
        <x:v>Output tokens / request</x:v>
      </x:c>
      <x:c r="B6" t="n">
        <x:v>900</x:v>
      </x:c>
      <x:c r="D6" t="str">
        <x:v>Cost / request</x:v>
      </x:c>
      <x:c r="E6" s="5" t="n">
        <x:f>E4+E5</x:f>
        <x:v>0.00272</x:v>
      </x:c>
    </x:row>
    <x:row r="7">
      <x:c r="A7" t="str">
        <x:v>Requests / session</x:v>
      </x:c>
      <x:c r="B7" t="n">
        <x:v>4</x:v>
      </x:c>
      <x:c r="D7" t="str">
        <x:v>Cost / session</x:v>
      </x:c>
      <x:c r="E7" s="5" t="n">
        <x:f>E6*B7</x:f>
        <x:v>0.01088</x:v>
      </x:c>
    </x:row>
    <x:row r="8">
      <x:c r="A8" t="str">
        <x:v>Sessions / user / month</x:v>
      </x:c>
      <x:c r="B8" t="n">
        <x:v>8</x:v>
      </x:c>
      <x:c r="D8" t="str">
        <x:v>Cost / user / month</x:v>
      </x:c>
      <x:c r="E8" s="5" t="n">
        <x:f>E7*B8</x:f>
        <x:v>0.08704</x:v>
      </x:c>
    </x:row>
    <x:row r="9">
      <x:c r="A9" t="str">
        <x:v>Revenue / session</x:v>
      </x:c>
      <x:c r="B9" t="n">
        <x:v>1.2</x:v>
      </x:c>
      <x:c r="D9" t="str">
        <x:v>Cache optimized session</x:v>
      </x:c>
      <x:c r="E9" s="5" t="n">
        <x:f>((B5-(B5*B10*B11))*XLOOKUP(B4,Pricing!A:A,Pricing!B:B)/1000000 + (B5*B10*B11)*(1-B12)*XLOOKUP(B4,Pricing!A:A,Pricing!B:B)/1000000 + E5)*B7</x:f>
        <x:v>0.0100736</x:v>
      </x:c>
    </x:row>
    <x:row r="10">
      <x:c r="A10" t="str">
        <x:v>Reusable input token share</x:v>
      </x:c>
      <x:c r="B10" t="n">
        <x:v>0.45</x:v>
      </x:c>
      <x:c r="D10" t="str">
        <x:v>Batch optimized session</x:v>
      </x:c>
      <x:c r="E10" s="5" t="n">
        <x:f>E7-(E7*B13*B14)</x:f>
        <x:v>0.00952</x:v>
      </x:c>
    </x:row>
    <x:row r="11">
      <x:c r="A11" t="str">
        <x:v>Cache hit rate</x:v>
      </x:c>
      <x:c r="B11" t="n">
        <x:v>0.7</x:v>
      </x:c>
    </x:row>
    <x:row r="12">
      <x:c r="A12" t="str">
        <x:v>Cached input discount</x:v>
      </x:c>
      <x:c r="B12" t="n">
        <x:v>0.5</x:v>
      </x:c>
    </x:row>
    <x:row r="13">
      <x:c r="A13" t="str">
        <x:v>Batchable request share</x:v>
      </x:c>
      <x:c r="B13" t="n">
        <x:v>0.25</x:v>
      </x:c>
    </x:row>
    <x:row r="14">
      <x:c r="A14" t="str">
        <x:v>Batch discount</x:v>
      </x:c>
      <x:c r="B14" t="n">
        <x:v>0.5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.220001220703125" hidden="0" customWidth="1"/>
    <x:col min="2" max="2" width="10.229999542236328" hidden="0" customWidth="1"/>
    <x:col min="3" max="3" width="11.710000038146973" hidden="0" customWidth="1"/>
    <x:col min="4" max="4" width="15.069999694824219" hidden="0" customWidth="1"/>
  </x:cols>
  <x:sheetData>
    <x:row r="1">
      <x:c r="A1" s="2" t="str">
        <x:v>Model</x:v>
      </x:c>
      <x:c r="B1" s="2" t="str">
        <x:v>Input $ / 1M</x:v>
      </x:c>
      <x:c r="C1" s="2" t="str">
        <x:v>Output $ / 1M</x:v>
      </x:c>
      <x:c r="D1" s="2" t="str">
        <x:v>Provider</x:v>
      </x:c>
      <x:c r="E1" s="2"/>
      <x:c r="F1" s="2"/>
    </x:row>
    <x:row r="2">
      <x:c r="A2" t="str">
        <x:v>gpt-4.1-mini</x:v>
      </x:c>
      <x:c r="B2" t="n">
        <x:v>0.4</x:v>
      </x:c>
      <x:c r="C2" t="n">
        <x:v>1.6</x:v>
      </x:c>
      <x:c r="D2" t="str">
        <x:v>OpenAI example</x:v>
      </x:c>
    </x:row>
    <x:row r="3">
      <x:c r="A3" s="4" t="str">
        <x:v>gpt-4.1</x:v>
      </x:c>
      <x:c r="B3" s="4" t="n">
        <x:v>2</x:v>
      </x:c>
      <x:c r="C3" s="4" t="n">
        <x:v>8</x:v>
      </x:c>
      <x:c r="D3" s="4" t="str">
        <x:v>OpenAI example</x:v>
      </x:c>
      <x:c r="E3" s="4"/>
      <x:c r="F3" s="4"/>
    </x:row>
    <x:row r="4">
      <x:c r="A4" t="str">
        <x:v>claude-sonnet-example</x:v>
      </x:c>
      <x:c r="B4" t="n">
        <x:v>3</x:v>
      </x:c>
      <x:c r="C4" t="n">
        <x:v>15</x:v>
      </x:c>
      <x:c r="D4" t="str">
        <x:v>Anthropic example</x:v>
      </x:c>
    </x:row>
    <x:row r="5">
      <x:c r="A5" t="str">
        <x:v>Update these assumptions before using publicly</x:v>
      </x:c>
      <x:c r="B5"/>
      <x:c r="C5"/>
      <x:c r="D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2.18000030517578" hidden="0" customWidth="1"/>
    <x:col min="2" max="2" width="10.09000015258789" hidden="0" customWidth="1"/>
    <x:col min="3" max="3" width="14.800000190734863" hidden="0" customWidth="1"/>
    <x:col min="4" max="4" width="10.770000457763672" hidden="0" customWidth="1"/>
    <x:col min="5" max="5" width="10.5" hidden="0" customWidth="1"/>
    <x:col min="6" max="6" width="11.569999694824219" hidden="0" customWidth="1"/>
  </x:cols>
  <x:sheetData>
    <x:row r="1">
      <x:c r="A1" s="2" t="str">
        <x:v>Multiplier</x:v>
      </x:c>
      <x:c r="B1" s="2" t="str">
        <x:v>Session Cost</x:v>
      </x:c>
      <x:c r="C1" s="2" t="str">
        <x:v>Revenue / Session</x:v>
      </x:c>
      <x:c r="D1" s="2" t="str">
        <x:v>Gross Margin</x:v>
      </x:c>
      <x:c r="E1" s="2" t="str">
        <x:v>Margin %</x:v>
      </x:c>
      <x:c r="F1" s="2" t="str">
        <x:v>Survives 30%?</x:v>
      </x:c>
    </x:row>
    <x:row r="2">
      <x:c r="A2" t="n">
        <x:v>1</x:v>
      </x:c>
      <x:c r="B2" s="5" t="n">
        <x:f>Inputs!E7*A2</x:f>
        <x:v>0.01088</x:v>
      </x:c>
      <x:c r="C2" s="5" t="n">
        <x:f>Inputs!B9</x:f>
        <x:v>1.2</x:v>
      </x:c>
      <x:c r="D2" s="5" t="n">
        <x:f>C2-B2</x:f>
        <x:v>1.18912</x:v>
      </x:c>
      <x:c r="E2" s="7" t="n">
        <x:f>D2/C2</x:f>
        <x:v>0.9909333333333333</x:v>
      </x:c>
      <x:c r="F2" t="b">
        <x:f>E2&gt;=30%</x:f>
        <x:v>1</x:v>
      </x:c>
    </x:row>
    <x:row r="3">
      <x:c r="A3" s="4" t="n">
        <x:v>2</x:v>
      </x:c>
      <x:c r="B3" s="6" t="n">
        <x:f>Inputs!E7*A3</x:f>
        <x:v>0.02176</x:v>
      </x:c>
      <x:c r="C3" s="6" t="n">
        <x:f>Inputs!B9</x:f>
        <x:v>1.2</x:v>
      </x:c>
      <x:c r="D3" s="6" t="n">
        <x:f>C3-B3</x:f>
        <x:v>1.17824</x:v>
      </x:c>
      <x:c r="E3" s="8" t="n">
        <x:f>D3/C3</x:f>
        <x:v>0.9818666666666667</x:v>
      </x:c>
      <x:c r="F3" s="4" t="b">
        <x:f>E3&gt;=30%</x:f>
        <x:v>1</x:v>
      </x:c>
    </x:row>
    <x:row r="4">
      <x:c r="A4" t="n">
        <x:v>3</x:v>
      </x:c>
      <x:c r="B4" s="5" t="n">
        <x:f>Inputs!E7*A4</x:f>
        <x:v>0.03264</x:v>
      </x:c>
      <x:c r="C4" s="5" t="n">
        <x:f>Inputs!B9</x:f>
        <x:v>1.2</x:v>
      </x:c>
      <x:c r="D4" s="5" t="n">
        <x:f>C4-B4</x:f>
        <x:v>1.16736</x:v>
      </x:c>
      <x:c r="E4" s="7" t="n">
        <x:f>D4/C4</x:f>
        <x:v>0.9728</x:v>
      </x:c>
      <x:c r="F4" t="b">
        <x:f>E4&gt;=30%</x:f>
        <x:v>1</x:v>
      </x:c>
    </x:row>
    <x:row r="5">
      <x:c r="A5" t="n">
        <x:v>5</x:v>
      </x:c>
      <x:c r="B5" s="5" t="n">
        <x:f>Inputs!E7*A5</x:f>
        <x:v>0.054400000000000004</x:v>
      </x:c>
      <x:c r="C5" s="5" t="n">
        <x:f>Inputs!B9</x:f>
        <x:v>1.2</x:v>
      </x:c>
      <x:c r="D5" s="5" t="n">
        <x:f>C5-B5</x:f>
        <x:v>1.1456</x:v>
      </x:c>
      <x:c r="E5" s="7" t="n">
        <x:f>D5/C5</x:f>
        <x:v>0.9546666666666667</x:v>
      </x:c>
      <x:c r="F5" t="b">
        <x:f>E5&gt;=30%</x:f>
        <x:v>1</x:v>
      </x:c>
    </x:row>
    <x:row r="6">
      <x:c r="A6"/>
      <x:c r="B6"/>
      <x:c r="C6"/>
      <x:c r="D6"/>
      <x:c r="E6"/>
      <x:c r="F6"/>
    </x:row>
    <x:row r="7">
      <x:c r="A7" t="str">
        <x:v>Base formulas mirror calculator/cost_model.py</x:v>
      </x:c>
      <x:c r="B7"/>
      <x:c r="C7"/>
      <x:c r="D7"/>
      <x:c r="E7"/>
      <x:c r="F7"/>
    </x:row>
    <x:row r="8">
      <x:c r="A8" t="str">
        <x:v>Caching and batch discounts can be layered manually from Inputs rows 10-13.</x:v>
      </x:c>
      <x:c r="B8"/>
      <x:c r="C8"/>
      <x:c r="D8"/>
      <x:c r="E8"/>
      <x:c r="F8"/>
    </x:row>
  </x:sheetData>
  <x:pageMargins left="0.7" right="0.7" top="0.75" bottom="0.75" header="0.3" footer="0.3"/>
</x:worksheet>
</file>